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en" sheetId="1" r:id="rId4"/>
    <sheet state="visible" name="Registro de riesgos" sheetId="2" r:id="rId5"/>
    <sheet state="visible" name="Matriz P x I" sheetId="3" r:id="rId6"/>
    <sheet state="visible" name="Indicadores" sheetId="4" r:id="rId7"/>
    <sheet state="visible" name="Análisis cuantitativo" sheetId="5" r:id="rId8"/>
    <sheet state="visible" name="Seguimiento" sheetId="6" r:id="rId9"/>
  </sheets>
  <definedNames/>
  <calcPr/>
  <extLst>
    <ext uri="GoogleSheetsCustomDataVersion2">
      <go:sheetsCustomData xmlns:go="http://customooxmlschemas.google.com/" r:id="rId10" roundtripDataChecksum="46d7V0TzmpKGkwUFcDN4LBTU+yYjr+LuClsk8bEBTTg="/>
    </ext>
  </extLst>
</workbook>
</file>

<file path=xl/sharedStrings.xml><?xml version="1.0" encoding="utf-8"?>
<sst xmlns="http://schemas.openxmlformats.org/spreadsheetml/2006/main" count="286" uniqueCount="250">
  <si>
    <t>TRAYEK  |  REGISTRO Y PLAN DE GESTIÓN DE RIESGOS</t>
  </si>
  <si>
    <t>Fecha evaluación</t>
  </si>
  <si>
    <t>Tipo</t>
  </si>
  <si>
    <t>Evaluación retrospectiva inicial</t>
  </si>
  <si>
    <t>Escala probabilidad</t>
  </si>
  <si>
    <t>Baja=1 / Media=2 / Alta=3</t>
  </si>
  <si>
    <t>Escala impacto</t>
  </si>
  <si>
    <t>Bajo=1 / Medio=2 / Alto=3</t>
  </si>
  <si>
    <t>Criticidad</t>
  </si>
  <si>
    <t>Probabilidad × impacto</t>
  </si>
  <si>
    <t>Semáforo</t>
  </si>
  <si>
    <t>Bajo: 1–2 | Medio: 3–4 | Alto: 6–9</t>
  </si>
  <si>
    <t>Fuente</t>
  </si>
  <si>
    <t>Auditorías + RF/RNF + pruebas + cronograma</t>
  </si>
  <si>
    <t>RIESGOS TOTALES</t>
  </si>
  <si>
    <t>ALTOS</t>
  </si>
  <si>
    <t>MEDIOS</t>
  </si>
  <si>
    <t>BAJOS</t>
  </si>
  <si>
    <t>PENDIENTES DE SEGUIMIENTO</t>
  </si>
  <si>
    <t>12: sin historial de revisiones periódicas</t>
  </si>
  <si>
    <t>Registro de riesgos — evaluación inicial al 19-10-2026</t>
  </si>
  <si>
    <t>ID</t>
  </si>
  <si>
    <t>Categoría</t>
  </si>
  <si>
    <t>Riesgo</t>
  </si>
  <si>
    <t>Causa</t>
  </si>
  <si>
    <t>Consecuencia</t>
  </si>
  <si>
    <t>Prob. (1-3)</t>
  </si>
  <si>
    <t>Impacto (1-3)</t>
  </si>
  <si>
    <t>P × I</t>
  </si>
  <si>
    <t>Nivel</t>
  </si>
  <si>
    <t>Estrategia</t>
  </si>
  <si>
    <t>Acción preventiva</t>
  </si>
  <si>
    <t>Contingencia</t>
  </si>
  <si>
    <t>Responsable propuesto</t>
  </si>
  <si>
    <t>Estado verificado</t>
  </si>
  <si>
    <t>Evidencia/observación</t>
  </si>
  <si>
    <t>RF/RNF</t>
  </si>
  <si>
    <t>R-01</t>
  </si>
  <si>
    <t>Tecnológico</t>
  </si>
  <si>
    <t>Fallo de integración web–móvil–API</t>
  </si>
  <si>
    <t>Diferencias entre contratos, versiones y flujos de autenticación.</t>
  </si>
  <si>
    <t>Interrupción de operaciones y correcciones antes de entrega.</t>
  </si>
  <si>
    <t>Mitigar</t>
  </si>
  <si>
    <t>Pruebas de extremo a extremo con casos de regresión y entorno estable.</t>
  </si>
  <si>
    <t>Aislar flujo defectuoso, restaurar versión funcional y registrar incidente.</t>
  </si>
  <si>
    <t>Angelina Mendoza</t>
  </si>
  <si>
    <t>En observación</t>
  </si>
  <si>
    <t>Postman + prueba real Android/web (18-10), no cobertura completa.</t>
  </si>
  <si>
    <t>RF-01–06; RF-24–35</t>
  </si>
  <si>
    <t>R-02</t>
  </si>
  <si>
    <t>Infraestructura</t>
  </si>
  <si>
    <t>Indisponibilidad de servicios cloud o bases de datos</t>
  </si>
  <si>
    <t>Dependencia del hosting y de MySQL/MongoDB remotos; antecedente de interrupción de BD.</t>
  </si>
  <si>
    <t>Interrumpe login, planificación y registro de asistencia.</t>
  </si>
  <si>
    <t>Verificar servicios, respaldos y procedimiento de reactivación; reducir dependencia de un proveedor.</t>
  </si>
  <si>
    <t>Usar entorno local de demostración y restaurar conectividad conforme al procedimiento.</t>
  </si>
  <si>
    <t>Materializado anteriormente; riesgo vigente</t>
  </si>
  <si>
    <t>Interrupción Aiven reportada y cambio de infraestructura; SLA no verificado.</t>
  </si>
  <si>
    <t>RNF-14; RNF-15</t>
  </si>
  <si>
    <t>R-03</t>
  </si>
  <si>
    <t>Operacional</t>
  </si>
  <si>
    <t>Sin internet móvil al escanear QR</t>
  </si>
  <si>
    <t>Conectividad débil o inexistente durante recorrido.</t>
  </si>
  <si>
    <t>Asistencia no registrada en el momento del viaje.</t>
  </si>
  <si>
    <t>Probar en señal limitada; mensajes claros; evaluar modo diferido como mejora futura.</t>
  </si>
  <si>
    <t>Registrar contingencia fuera de línea y conciliar con responsable autorizado.</t>
  </si>
  <si>
    <t>Paloma Tamayo</t>
  </si>
  <si>
    <t>Abierto</t>
  </si>
  <si>
    <t>MVP depende de API; modo offline no verificado.</t>
  </si>
  <si>
    <t>RF-28–31; RNF-09</t>
  </si>
  <si>
    <t>R-04</t>
  </si>
  <si>
    <t>Asistencia QR indebida, duplicada o error de cupos</t>
  </si>
  <si>
    <t>Compartición del QR, concurrencia y cambios de servicio.</t>
  </si>
  <si>
    <t>Datos erróneos de transporte y reportes de cobro.</t>
  </si>
  <si>
    <t>Validaciones de token, unicidad y cupo; ensayos de concurrencia en MySQL.</t>
  </si>
  <si>
    <t>Revisar registros y corregir mediante procedimiento autorizado conservando trazabilidad.</t>
  </si>
  <si>
    <t>Control parcial</t>
  </si>
  <si>
    <t>QR aleatorio/índice único; pruebas xUnit en SQLite, concurrencia MySQL pendiente.</t>
  </si>
  <si>
    <t>RF-29–31; RN-14–18</t>
  </si>
  <si>
    <t>R-05</t>
  </si>
  <si>
    <t>Seguridad</t>
  </si>
  <si>
    <t>Acceso no autorizado o exposición de datos</t>
  </si>
  <si>
    <t>Login sin rate limiting, JWT prolongado o información excesiva en rutas.</t>
  </si>
  <si>
    <t>Pérdida de confidencialidad y necesidad de contención.</t>
  </si>
  <si>
    <t>Rate limit, pruebas 401/403/IDOR, revisión DTO y política de tokens.</t>
  </si>
  <si>
    <t>Bloquear cuentas/sesiones, contener incidente y revisar accesos/logs disponibles.</t>
  </si>
  <si>
    <t>Auditoría de seguridad identifica controles y brechas; sin explotación verificada.</t>
  </si>
  <si>
    <t>RNF-01–05; RNF-16</t>
  </si>
  <si>
    <t>R-06</t>
  </si>
  <si>
    <t>Inconsistencia de referencias entre MySQL y MongoDB</t>
  </si>
  <si>
    <t>Arquitectura híbrida sin transacción distribuida.</t>
  </si>
  <si>
    <t>Servicios asociados a rutas inexistentes o desactualizadas.</t>
  </si>
  <si>
    <t>Validaciones cruzadas antes de confirmar operaciones; rutina de revisión de integridad.</t>
  </si>
  <si>
    <t>Corregir referencia y reejecutar verificación de ruta/servicio.</t>
  </si>
  <si>
    <t>Vínculo lógico sin FK intermotor, identificado en auditoría.</t>
  </si>
  <si>
    <t>RN-25; RF-13–23</t>
  </si>
  <si>
    <t>R-07</t>
  </si>
  <si>
    <t>Externo</t>
  </si>
  <si>
    <t>Dependencia de Geoapify para geocodificación y rutas</t>
  </si>
  <si>
    <t>Caídas, límites del proveedor o demoras de API externa.</t>
  </si>
  <si>
    <t>Rutas no calculables y retrasos al planificar.</t>
  </si>
  <si>
    <t>Control de timeout y manejo de errores; conservar rutas ya creadas.</t>
  </si>
  <si>
    <t>Reintentar con posterioridad o trabajar con rutas previamente guardadas.</t>
  </si>
  <si>
    <t>Timeouts identificados en código; disponibilidad externa no medida.</t>
  </si>
  <si>
    <t>RF-10; RF-15</t>
  </si>
  <si>
    <t>R-08</t>
  </si>
  <si>
    <t>Gestión</t>
  </si>
  <si>
    <t>Atraso del desarrollo por equipo de dos integrantes</t>
  </si>
  <si>
    <t>Carga de trabajo alta y dependencias entre módulos.</t>
  </si>
  <si>
    <t>Reducción de tiempo disponible para integración y pruebas.</t>
  </si>
  <si>
    <t>Prioridad MVP, revisión de Kanban y dependencias críticas; congelamiento de alcance.</t>
  </si>
  <si>
    <t>Reprogramar tareas no críticas y focalizar en flujo demostrable.</t>
  </si>
  <si>
    <t>Equipo de dos y fecha límite oficial del CAPSTONE.</t>
  </si>
  <si>
    <t>EDT; cronograma APT</t>
  </si>
  <si>
    <t>R-09</t>
  </si>
  <si>
    <t>Cambios de alcance o requerimientos tardíos</t>
  </si>
  <si>
    <t>Necesidades emergentes o funcionalidades complementarias.</t>
  </si>
  <si>
    <t>Retrabajo y desviación del calendario.</t>
  </si>
  <si>
    <t>Evitar/Mitigar</t>
  </si>
  <si>
    <t>Registrar solicitud y evaluar costo/plazo antes de incluirla; mantener backlog pospuesto.</t>
  </si>
  <si>
    <t>Trasladar solicitudes no críticas fuera del MVP.</t>
  </si>
  <si>
    <t>Control de alcance documentado</t>
  </si>
  <si>
    <t>Requerimientos v2 registra funcionalidades postergadas.</t>
  </si>
  <si>
    <t>RF-36–38</t>
  </si>
  <si>
    <t>R-10</t>
  </si>
  <si>
    <t>Usabilidad</t>
  </si>
  <si>
    <t>Uso incorrecto de web/móvil por usuarios nuevos</t>
  </si>
  <si>
    <t>Errores de interfaz, falta de capacitación o contraste visual.</t>
  </si>
  <si>
    <t>Demoras y fallos operacionales en servicio o QR.</t>
  </si>
  <si>
    <t>Pruebas guiadas de tareas, textos claros y evaluación de accesibilidad.</t>
  </si>
  <si>
    <t>Guía rápida para conductor/pasajero y soporte de demostración.</t>
  </si>
  <si>
    <t>RNF-07 parcial; sin estudio formal de usabilidad.</t>
  </si>
  <si>
    <t>RNF-07; RF-24–31</t>
  </si>
  <si>
    <t>R-11</t>
  </si>
  <si>
    <t>Calidad</t>
  </si>
  <si>
    <t>Degradación de rendimiento con mayor volumen</t>
  </si>
  <si>
    <t>Listados sin paginación en API y consultas de indicadores agregadas.</t>
  </si>
  <si>
    <t>Tiempos sobre meta de 3 segundos y errores por timeout.</t>
  </si>
  <si>
    <t>Medir p95 con cargas de prueba, optimizar consultas e implementar paginación.</t>
  </si>
  <si>
    <t>Limitar consultas y reducir intervalo/filtro mientras se optimiza.</t>
  </si>
  <si>
    <t>No medido</t>
  </si>
  <si>
    <t>RNF-06 exige &lt;=3 s; auditoría sin benchmarks.</t>
  </si>
  <si>
    <t>RNF-06</t>
  </si>
  <si>
    <t>R-12</t>
  </si>
  <si>
    <t>Pruebas incompletas antes de evaluación final</t>
  </si>
  <si>
    <t>Falta de cobertura formal de JWT, QR, permisos y motor MySQL real.</t>
  </si>
  <si>
    <t xml:space="preserve">Defectos no detectados durante la presentación o uso. </t>
  </si>
  <si>
    <t>Priorizar casos críticos y registrar resultados Postman, xUnit y E2E.</t>
  </si>
  <si>
    <t>Usar build probado; aislar funciones sin evidencia y describir límites del MVP.</t>
  </si>
  <si>
    <t>121 pruebas reportadas; sin porcentaje de cobertura; rutas críticas no automatizadas.</t>
  </si>
  <si>
    <t>RNF-13; aceptación MVP</t>
  </si>
  <si>
    <t>MATRIZ DE PROBABILIDAD × IMPACTO</t>
  </si>
  <si>
    <t>Probabilidad / Impacto</t>
  </si>
  <si>
    <t>1 – Bajo</t>
  </si>
  <si>
    <t>2 – Medio</t>
  </si>
  <si>
    <t>3 – Alto</t>
  </si>
  <si>
    <t>3 – Alta</t>
  </si>
  <si>
    <t>3  |  —</t>
  </si>
  <si>
    <t>6  |  R-09</t>
  </si>
  <si>
    <t>9  |  R-02, R-08, R-12</t>
  </si>
  <si>
    <t>2 – Media</t>
  </si>
  <si>
    <t>2  |  —</t>
  </si>
  <si>
    <t>4  |  R-06, R-07, R-10, R-11</t>
  </si>
  <si>
    <t>6  |  R-01, R-03, R-04, R-05</t>
  </si>
  <si>
    <t>1 – Baja</t>
  </si>
  <si>
    <t>1  |  —</t>
  </si>
  <si>
    <t>Escala</t>
  </si>
  <si>
    <t>Valor</t>
  </si>
  <si>
    <t>Probabilidad baja / media / alta</t>
  </si>
  <si>
    <t>1 / 2 / 3</t>
  </si>
  <si>
    <t>Impacto bajo / medio / alto</t>
  </si>
  <si>
    <t>Bajo / Medio / Alto</t>
  </si>
  <si>
    <t>1–2 / 3–4 / 6–9</t>
  </si>
  <si>
    <t>Naturaleza</t>
  </si>
  <si>
    <t>Estimación retrospectiva, no frecuencia observada</t>
  </si>
  <si>
    <t>INDICADORES DE SEGUIMIENTO — definiciones y metas propuestas</t>
  </si>
  <si>
    <t>Indicador</t>
  </si>
  <si>
    <t>Fórmula / Método</t>
  </si>
  <si>
    <t>Meta sugerida</t>
  </si>
  <si>
    <t>Medición actual</t>
  </si>
  <si>
    <t>Riesgos altos con plan</t>
  </si>
  <si>
    <t>Alto con mitigación definida / Alto total ×100</t>
  </si>
  <si>
    <t>100 %</t>
  </si>
  <si>
    <t>Plan definido retrospectivamente; ejecución no verificada</t>
  </si>
  <si>
    <t>Pruebas críticas satisfactorias</t>
  </si>
  <si>
    <t>Casos críticos aprobados / ejecutados</t>
  </si>
  <si>
    <t>100 % de críticos</t>
  </si>
  <si>
    <t>Sin denominador consolidado</t>
  </si>
  <si>
    <t>Cumplimiento API</t>
  </si>
  <si>
    <t>P95 respuestas normales por endpoint</t>
  </si>
  <si>
    <t>≤ 3 segundos (RNF-06)</t>
  </si>
  <si>
    <t>Disponibilidad API y BD</t>
  </si>
  <si>
    <t>Tiempo activo / tiempo programado ×100</t>
  </si>
  <si>
    <t>A definir según hosting</t>
  </si>
  <si>
    <t>Respaldos comprobados</t>
  </si>
  <si>
    <t>Restauraciones exitosas / ensayos de restauración</t>
  </si>
  <si>
    <t>100 % de ensayos</t>
  </si>
  <si>
    <t>No verificado</t>
  </si>
  <si>
    <t>Registro asistencia</t>
  </si>
  <si>
    <t>Asistencias correctas / casos ejecutados</t>
  </si>
  <si>
    <t>100 % de escenarios críticos</t>
  </si>
  <si>
    <t>Prueba E2E de 3 asistencias; no tasa global</t>
  </si>
  <si>
    <t>Riesgos revisados</t>
  </si>
  <si>
    <t>Riesgos revisados / riesgos totales</t>
  </si>
  <si>
    <t>100 % en revisión semanal propuesta</t>
  </si>
  <si>
    <t>No hay historial semanal</t>
  </si>
  <si>
    <t>ANÁLISIS CUANTITATIVO — SUPUESTOS ILUSTRATIVOS, NO DATOS HISTÓRICOS</t>
  </si>
  <si>
    <t>Actividad crítica</t>
  </si>
  <si>
    <t>Optimista (a)</t>
  </si>
  <si>
    <t>Más probable (m)</t>
  </si>
  <si>
    <t>Pesimista (b)</t>
  </si>
  <si>
    <t>PERT (días)</t>
  </si>
  <si>
    <t>Integración API-web-móvil</t>
  </si>
  <si>
    <t>Estabilización despliegue y BD</t>
  </si>
  <si>
    <t>Pruebas finales de flujo crítico</t>
  </si>
  <si>
    <t>Monte Carlo triangular (10 000 escenarios)</t>
  </si>
  <si>
    <t>Resultado</t>
  </si>
  <si>
    <t>Corridas</t>
  </si>
  <si>
    <t>Media suma actividades (días)</t>
  </si>
  <si>
    <t>Percentil 50 (días)</t>
  </si>
  <si>
    <t>Percentil 80 (días)</t>
  </si>
  <si>
    <t>Percentil 90 (días)</t>
  </si>
  <si>
    <t>Advertencia</t>
  </si>
  <si>
    <t>Escenarios aleatorios sobre estimaciones asumidas</t>
  </si>
  <si>
    <t>Árbol de decisión (escenario ilustrativo)</t>
  </si>
  <si>
    <t>Prob. interrupción</t>
  </si>
  <si>
    <t>Atraso si falla (días)</t>
  </si>
  <si>
    <t>Atraso esperado</t>
  </si>
  <si>
    <t>Opción A: un único entorno remoto</t>
  </si>
  <si>
    <t>Opción B: entorno remoto + demo local preparada</t>
  </si>
  <si>
    <t>Alternativa recomendada</t>
  </si>
  <si>
    <t>B, si se dispone de entorno local actualizado</t>
  </si>
  <si>
    <t>Nota</t>
  </si>
  <si>
    <t>Probabilidades supuestas para comparación, no datos de proveedor</t>
  </si>
  <si>
    <t>BITÁCORA DE SEGUIMIENTO — LISTA PARA COMENZAR</t>
  </si>
  <si>
    <t>Fecha</t>
  </si>
  <si>
    <t>Evento / revisión</t>
  </si>
  <si>
    <t>Cambio prob.</t>
  </si>
  <si>
    <t>Cambio impacto</t>
  </si>
  <si>
    <t>Acción ejecutada</t>
  </si>
  <si>
    <t>Evidencia / enlace</t>
  </si>
  <si>
    <t>Responsable</t>
  </si>
  <si>
    <t>Estado</t>
  </si>
  <si>
    <t>2026-10-19</t>
  </si>
  <si>
    <t>TODOS</t>
  </si>
  <si>
    <t>Línea base retrospectiva a partir de documentación y auditorías</t>
  </si>
  <si>
    <t>Registro inicial creado; acciones futuras pendientes</t>
  </si>
  <si>
    <t>Requerimientos v2 + informes calidad/seguridad + Postman</t>
  </si>
  <si>
    <t>Equipo Trayek</t>
  </si>
  <si>
    <t>Línea base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</si>
</sst>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5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  <font>
      <b/>
      <sz val="11.0"/>
      <color rgb="FFFFFF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83153"/>
        <bgColor rgb="FF183153"/>
      </patternFill>
    </fill>
    <fill>
      <patternFill patternType="solid">
        <fgColor rgb="FF0B7683"/>
        <bgColor rgb="FF0B7683"/>
      </patternFill>
    </fill>
    <fill>
      <patternFill patternType="solid">
        <fgColor rgb="FFFFF0B7"/>
        <bgColor rgb="FFFFF0B7"/>
      </patternFill>
    </fill>
    <fill>
      <patternFill patternType="solid">
        <fgColor rgb="FFF9D7D7"/>
        <bgColor rgb="FFF9D7D7"/>
      </patternFill>
    </fill>
    <fill>
      <patternFill patternType="solid">
        <fgColor rgb="FFDFF3E9"/>
        <bgColor rgb="FFDFF3E9"/>
      </patternFill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0" fontId="2" numFmtId="0" xfId="0" applyFont="1"/>
    <xf borderId="0" fillId="0" fontId="2" numFmtId="0" xfId="0" applyAlignment="1" applyFont="1">
      <alignment readingOrder="0"/>
    </xf>
    <xf borderId="0" fillId="0" fontId="3" numFmtId="0" xfId="0" applyAlignment="1" applyFont="1">
      <alignment shrinkToFit="0" wrapText="1"/>
    </xf>
    <xf borderId="0" fillId="3" fontId="4" numFmtId="0" xfId="0" applyAlignment="1" applyFill="1" applyFont="1">
      <alignment shrinkToFit="0" wrapText="1"/>
    </xf>
    <xf borderId="0" fillId="0" fontId="3" numFmtId="0" xfId="0" applyAlignment="1" applyFont="1">
      <alignment horizontal="center" shrinkToFit="0" wrapText="1"/>
    </xf>
    <xf borderId="0" fillId="4" fontId="3" numFmtId="0" xfId="0" applyAlignment="1" applyFill="1" applyFont="1">
      <alignment shrinkToFit="0" wrapText="1"/>
    </xf>
    <xf borderId="0" fillId="5" fontId="3" numFmtId="0" xfId="0" applyAlignment="1" applyFill="1" applyFont="1">
      <alignment shrinkToFit="0" wrapText="1"/>
    </xf>
    <xf borderId="0" fillId="6" fontId="3" numFmtId="0" xfId="0" applyAlignment="1" applyFill="1" applyFont="1">
      <alignment shrinkToFit="0" wrapText="1"/>
    </xf>
  </cellXfs>
  <cellStyles count="1">
    <cellStyle xfId="0" name="Normal" builtinId="0"/>
  </cellStyles>
  <dxfs count="3">
    <dxf>
      <font/>
      <fill>
        <patternFill patternType="solid">
          <fgColor rgb="FFF9D7D7"/>
          <bgColor rgb="FFF9D7D7"/>
        </patternFill>
      </fill>
      <border/>
    </dxf>
    <dxf>
      <font/>
      <fill>
        <patternFill patternType="solid">
          <fgColor rgb="FFFFF0B7"/>
          <bgColor rgb="FFFFF0B7"/>
        </patternFill>
      </fill>
      <border/>
    </dxf>
    <dxf>
      <font/>
      <fill>
        <patternFill patternType="solid">
          <fgColor rgb="FFDFF3E9"/>
          <bgColor rgb="FFDFF3E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65.0"/>
    <col customWidth="1" min="3" max="26" width="8.63"/>
  </cols>
  <sheetData>
    <row r="1" ht="33.75" customHeight="1">
      <c r="A1" s="1" t="s">
        <v>0</v>
      </c>
    </row>
    <row r="3">
      <c r="A3" s="2" t="s">
        <v>1</v>
      </c>
      <c r="B3" s="3">
        <v>2026.0</v>
      </c>
    </row>
    <row r="4">
      <c r="A4" s="2" t="s">
        <v>2</v>
      </c>
      <c r="B4" s="2" t="s">
        <v>3</v>
      </c>
    </row>
    <row r="5">
      <c r="A5" s="2" t="s">
        <v>4</v>
      </c>
      <c r="B5" s="2" t="s">
        <v>5</v>
      </c>
    </row>
    <row r="6">
      <c r="A6" s="2" t="s">
        <v>6</v>
      </c>
      <c r="B6" s="2" t="s">
        <v>7</v>
      </c>
    </row>
    <row r="7">
      <c r="A7" s="2" t="s">
        <v>8</v>
      </c>
      <c r="B7" s="2" t="s">
        <v>9</v>
      </c>
    </row>
    <row r="8">
      <c r="A8" s="2" t="s">
        <v>10</v>
      </c>
      <c r="B8" s="2" t="s">
        <v>11</v>
      </c>
    </row>
    <row r="9">
      <c r="A9" s="2" t="s">
        <v>12</v>
      </c>
      <c r="B9" s="2" t="s">
        <v>13</v>
      </c>
    </row>
    <row r="11">
      <c r="A11" s="4" t="s">
        <v>14</v>
      </c>
      <c r="B11" s="4">
        <v>12.0</v>
      </c>
    </row>
    <row r="12">
      <c r="A12" s="4" t="s">
        <v>15</v>
      </c>
      <c r="B12" s="4">
        <v>8.0</v>
      </c>
    </row>
    <row r="13">
      <c r="A13" s="4" t="s">
        <v>16</v>
      </c>
      <c r="B13" s="4">
        <v>4.0</v>
      </c>
    </row>
    <row r="14">
      <c r="A14" s="4" t="s">
        <v>17</v>
      </c>
      <c r="B14" s="4">
        <v>0.0</v>
      </c>
    </row>
    <row r="15">
      <c r="A15" s="4" t="s">
        <v>18</v>
      </c>
      <c r="B15" s="4" t="s">
        <v>19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21.0"/>
    <col customWidth="1" min="3" max="3" width="40.0"/>
    <col customWidth="1" min="4" max="4" width="50.0"/>
    <col customWidth="1" min="5" max="5" width="52.0"/>
    <col customWidth="1" min="6" max="7" width="15.0"/>
    <col customWidth="1" min="8" max="8" width="11.0"/>
    <col customWidth="1" min="9" max="9" width="13.0"/>
    <col customWidth="1" min="10" max="10" width="19.0"/>
    <col customWidth="1" min="11" max="12" width="66.0"/>
    <col customWidth="1" min="13" max="13" width="23.0"/>
    <col customWidth="1" min="14" max="14" width="26.0"/>
    <col customWidth="1" min="15" max="15" width="72.0"/>
    <col customWidth="1" min="16" max="16" width="21.0"/>
    <col customWidth="1" min="17" max="26" width="8.63"/>
  </cols>
  <sheetData>
    <row r="1" ht="33.75" customHeight="1">
      <c r="A1" s="1" t="s">
        <v>20</v>
      </c>
    </row>
    <row r="3" ht="28.5" customHeight="1">
      <c r="A3" s="5" t="s">
        <v>21</v>
      </c>
      <c r="B3" s="5" t="s">
        <v>22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  <c r="I3" s="5" t="s">
        <v>29</v>
      </c>
      <c r="J3" s="5" t="s">
        <v>30</v>
      </c>
      <c r="K3" s="5" t="s">
        <v>31</v>
      </c>
      <c r="L3" s="5" t="s">
        <v>32</v>
      </c>
      <c r="M3" s="5" t="s">
        <v>33</v>
      </c>
      <c r="N3" s="5" t="s">
        <v>34</v>
      </c>
      <c r="O3" s="5" t="s">
        <v>35</v>
      </c>
      <c r="P3" s="5" t="s">
        <v>36</v>
      </c>
    </row>
    <row r="4" ht="66.75" customHeight="1">
      <c r="A4" s="4" t="s">
        <v>37</v>
      </c>
      <c r="B4" s="4" t="s">
        <v>38</v>
      </c>
      <c r="C4" s="4" t="s">
        <v>39</v>
      </c>
      <c r="D4" s="4" t="s">
        <v>40</v>
      </c>
      <c r="E4" s="4" t="s">
        <v>41</v>
      </c>
      <c r="F4" s="6">
        <v>2.0</v>
      </c>
      <c r="G4" s="6">
        <v>3.0</v>
      </c>
      <c r="H4" s="4">
        <f t="shared" ref="H4:H15" si="1">F4*G4</f>
        <v>6</v>
      </c>
      <c r="I4" s="4" t="str">
        <f t="shared" ref="I4:I15" si="2">IF(H4&lt;=2,"Bajo",IF(H4&lt;=4,"Medio","Alto"))</f>
        <v>Alto</v>
      </c>
      <c r="J4" s="4" t="s">
        <v>42</v>
      </c>
      <c r="K4" s="4" t="s">
        <v>43</v>
      </c>
      <c r="L4" s="4" t="s">
        <v>44</v>
      </c>
      <c r="M4" s="4" t="s">
        <v>45</v>
      </c>
      <c r="N4" s="4" t="s">
        <v>46</v>
      </c>
      <c r="O4" s="4" t="s">
        <v>47</v>
      </c>
      <c r="P4" s="4" t="s">
        <v>48</v>
      </c>
    </row>
    <row r="5" ht="66.75" customHeight="1">
      <c r="A5" s="4" t="s">
        <v>49</v>
      </c>
      <c r="B5" s="4" t="s">
        <v>50</v>
      </c>
      <c r="C5" s="4" t="s">
        <v>51</v>
      </c>
      <c r="D5" s="4" t="s">
        <v>52</v>
      </c>
      <c r="E5" s="4" t="s">
        <v>53</v>
      </c>
      <c r="F5" s="6">
        <v>3.0</v>
      </c>
      <c r="G5" s="6">
        <v>3.0</v>
      </c>
      <c r="H5" s="4">
        <f t="shared" si="1"/>
        <v>9</v>
      </c>
      <c r="I5" s="4" t="str">
        <f t="shared" si="2"/>
        <v>Alto</v>
      </c>
      <c r="J5" s="4" t="s">
        <v>42</v>
      </c>
      <c r="K5" s="4" t="s">
        <v>54</v>
      </c>
      <c r="L5" s="4" t="s">
        <v>55</v>
      </c>
      <c r="M5" s="4" t="s">
        <v>45</v>
      </c>
      <c r="N5" s="4" t="s">
        <v>56</v>
      </c>
      <c r="O5" s="4" t="s">
        <v>57</v>
      </c>
      <c r="P5" s="4" t="s">
        <v>58</v>
      </c>
    </row>
    <row r="6" ht="66.75" customHeight="1">
      <c r="A6" s="4" t="s">
        <v>59</v>
      </c>
      <c r="B6" s="4" t="s">
        <v>60</v>
      </c>
      <c r="C6" s="4" t="s">
        <v>61</v>
      </c>
      <c r="D6" s="4" t="s">
        <v>62</v>
      </c>
      <c r="E6" s="4" t="s">
        <v>63</v>
      </c>
      <c r="F6" s="6">
        <v>2.0</v>
      </c>
      <c r="G6" s="6">
        <v>3.0</v>
      </c>
      <c r="H6" s="4">
        <f t="shared" si="1"/>
        <v>6</v>
      </c>
      <c r="I6" s="4" t="str">
        <f t="shared" si="2"/>
        <v>Alto</v>
      </c>
      <c r="J6" s="4" t="s">
        <v>42</v>
      </c>
      <c r="K6" s="4" t="s">
        <v>64</v>
      </c>
      <c r="L6" s="4" t="s">
        <v>65</v>
      </c>
      <c r="M6" s="4" t="s">
        <v>66</v>
      </c>
      <c r="N6" s="4" t="s">
        <v>67</v>
      </c>
      <c r="O6" s="4" t="s">
        <v>68</v>
      </c>
      <c r="P6" s="4" t="s">
        <v>69</v>
      </c>
    </row>
    <row r="7" ht="66.75" customHeight="1">
      <c r="A7" s="4" t="s">
        <v>70</v>
      </c>
      <c r="B7" s="4" t="s">
        <v>60</v>
      </c>
      <c r="C7" s="4" t="s">
        <v>71</v>
      </c>
      <c r="D7" s="4" t="s">
        <v>72</v>
      </c>
      <c r="E7" s="4" t="s">
        <v>73</v>
      </c>
      <c r="F7" s="6">
        <v>2.0</v>
      </c>
      <c r="G7" s="6">
        <v>3.0</v>
      </c>
      <c r="H7" s="4">
        <f t="shared" si="1"/>
        <v>6</v>
      </c>
      <c r="I7" s="4" t="str">
        <f t="shared" si="2"/>
        <v>Alto</v>
      </c>
      <c r="J7" s="4" t="s">
        <v>42</v>
      </c>
      <c r="K7" s="4" t="s">
        <v>74</v>
      </c>
      <c r="L7" s="4" t="s">
        <v>75</v>
      </c>
      <c r="M7" s="4" t="s">
        <v>45</v>
      </c>
      <c r="N7" s="4" t="s">
        <v>76</v>
      </c>
      <c r="O7" s="4" t="s">
        <v>77</v>
      </c>
      <c r="P7" s="4" t="s">
        <v>78</v>
      </c>
    </row>
    <row r="8" ht="66.75" customHeight="1">
      <c r="A8" s="4" t="s">
        <v>79</v>
      </c>
      <c r="B8" s="4" t="s">
        <v>80</v>
      </c>
      <c r="C8" s="4" t="s">
        <v>81</v>
      </c>
      <c r="D8" s="4" t="s">
        <v>82</v>
      </c>
      <c r="E8" s="4" t="s">
        <v>83</v>
      </c>
      <c r="F8" s="6">
        <v>2.0</v>
      </c>
      <c r="G8" s="6">
        <v>3.0</v>
      </c>
      <c r="H8" s="4">
        <f t="shared" si="1"/>
        <v>6</v>
      </c>
      <c r="I8" s="4" t="str">
        <f t="shared" si="2"/>
        <v>Alto</v>
      </c>
      <c r="J8" s="4" t="s">
        <v>42</v>
      </c>
      <c r="K8" s="4" t="s">
        <v>84</v>
      </c>
      <c r="L8" s="4" t="s">
        <v>85</v>
      </c>
      <c r="M8" s="4" t="s">
        <v>45</v>
      </c>
      <c r="N8" s="4" t="s">
        <v>67</v>
      </c>
      <c r="O8" s="4" t="s">
        <v>86</v>
      </c>
      <c r="P8" s="4" t="s">
        <v>87</v>
      </c>
    </row>
    <row r="9" ht="66.75" customHeight="1">
      <c r="A9" s="4" t="s">
        <v>88</v>
      </c>
      <c r="B9" s="4" t="s">
        <v>38</v>
      </c>
      <c r="C9" s="4" t="s">
        <v>89</v>
      </c>
      <c r="D9" s="4" t="s">
        <v>90</v>
      </c>
      <c r="E9" s="4" t="s">
        <v>91</v>
      </c>
      <c r="F9" s="6">
        <v>2.0</v>
      </c>
      <c r="G9" s="6">
        <v>2.0</v>
      </c>
      <c r="H9" s="4">
        <f t="shared" si="1"/>
        <v>4</v>
      </c>
      <c r="I9" s="4" t="str">
        <f t="shared" si="2"/>
        <v>Medio</v>
      </c>
      <c r="J9" s="4" t="s">
        <v>42</v>
      </c>
      <c r="K9" s="4" t="s">
        <v>92</v>
      </c>
      <c r="L9" s="4" t="s">
        <v>93</v>
      </c>
      <c r="M9" s="4" t="s">
        <v>45</v>
      </c>
      <c r="N9" s="4" t="s">
        <v>67</v>
      </c>
      <c r="O9" s="4" t="s">
        <v>94</v>
      </c>
      <c r="P9" s="4" t="s">
        <v>95</v>
      </c>
    </row>
    <row r="10" ht="66.75" customHeight="1">
      <c r="A10" s="4" t="s">
        <v>96</v>
      </c>
      <c r="B10" s="4" t="s">
        <v>97</v>
      </c>
      <c r="C10" s="4" t="s">
        <v>98</v>
      </c>
      <c r="D10" s="4" t="s">
        <v>99</v>
      </c>
      <c r="E10" s="4" t="s">
        <v>100</v>
      </c>
      <c r="F10" s="6">
        <v>2.0</v>
      </c>
      <c r="G10" s="6">
        <v>2.0</v>
      </c>
      <c r="H10" s="4">
        <f t="shared" si="1"/>
        <v>4</v>
      </c>
      <c r="I10" s="4" t="str">
        <f t="shared" si="2"/>
        <v>Medio</v>
      </c>
      <c r="J10" s="4" t="s">
        <v>42</v>
      </c>
      <c r="K10" s="4" t="s">
        <v>101</v>
      </c>
      <c r="L10" s="4" t="s">
        <v>102</v>
      </c>
      <c r="M10" s="4" t="s">
        <v>66</v>
      </c>
      <c r="N10" s="4" t="s">
        <v>46</v>
      </c>
      <c r="O10" s="4" t="s">
        <v>103</v>
      </c>
      <c r="P10" s="4" t="s">
        <v>104</v>
      </c>
    </row>
    <row r="11" ht="66.75" customHeight="1">
      <c r="A11" s="4" t="s">
        <v>105</v>
      </c>
      <c r="B11" s="4" t="s">
        <v>106</v>
      </c>
      <c r="C11" s="4" t="s">
        <v>107</v>
      </c>
      <c r="D11" s="4" t="s">
        <v>108</v>
      </c>
      <c r="E11" s="4" t="s">
        <v>109</v>
      </c>
      <c r="F11" s="6">
        <v>3.0</v>
      </c>
      <c r="G11" s="6">
        <v>3.0</v>
      </c>
      <c r="H11" s="4">
        <f t="shared" si="1"/>
        <v>9</v>
      </c>
      <c r="I11" s="4" t="str">
        <f t="shared" si="2"/>
        <v>Alto</v>
      </c>
      <c r="J11" s="4" t="s">
        <v>42</v>
      </c>
      <c r="K11" s="4" t="s">
        <v>110</v>
      </c>
      <c r="L11" s="4" t="s">
        <v>111</v>
      </c>
      <c r="M11" s="4" t="s">
        <v>66</v>
      </c>
      <c r="N11" s="4" t="s">
        <v>67</v>
      </c>
      <c r="O11" s="4" t="s">
        <v>112</v>
      </c>
      <c r="P11" s="4" t="s">
        <v>113</v>
      </c>
    </row>
    <row r="12" ht="66.75" customHeight="1">
      <c r="A12" s="4" t="s">
        <v>114</v>
      </c>
      <c r="B12" s="4" t="s">
        <v>106</v>
      </c>
      <c r="C12" s="4" t="s">
        <v>115</v>
      </c>
      <c r="D12" s="4" t="s">
        <v>116</v>
      </c>
      <c r="E12" s="4" t="s">
        <v>117</v>
      </c>
      <c r="F12" s="6">
        <v>3.0</v>
      </c>
      <c r="G12" s="6">
        <v>2.0</v>
      </c>
      <c r="H12" s="4">
        <f t="shared" si="1"/>
        <v>6</v>
      </c>
      <c r="I12" s="4" t="str">
        <f t="shared" si="2"/>
        <v>Alto</v>
      </c>
      <c r="J12" s="4" t="s">
        <v>118</v>
      </c>
      <c r="K12" s="4" t="s">
        <v>119</v>
      </c>
      <c r="L12" s="4" t="s">
        <v>120</v>
      </c>
      <c r="M12" s="4" t="s">
        <v>66</v>
      </c>
      <c r="N12" s="4" t="s">
        <v>121</v>
      </c>
      <c r="O12" s="4" t="s">
        <v>122</v>
      </c>
      <c r="P12" s="4" t="s">
        <v>123</v>
      </c>
    </row>
    <row r="13" ht="66.75" customHeight="1">
      <c r="A13" s="4" t="s">
        <v>124</v>
      </c>
      <c r="B13" s="4" t="s">
        <v>125</v>
      </c>
      <c r="C13" s="4" t="s">
        <v>126</v>
      </c>
      <c r="D13" s="4" t="s">
        <v>127</v>
      </c>
      <c r="E13" s="4" t="s">
        <v>128</v>
      </c>
      <c r="F13" s="6">
        <v>2.0</v>
      </c>
      <c r="G13" s="6">
        <v>2.0</v>
      </c>
      <c r="H13" s="4">
        <f t="shared" si="1"/>
        <v>4</v>
      </c>
      <c r="I13" s="4" t="str">
        <f t="shared" si="2"/>
        <v>Medio</v>
      </c>
      <c r="J13" s="4" t="s">
        <v>42</v>
      </c>
      <c r="K13" s="4" t="s">
        <v>129</v>
      </c>
      <c r="L13" s="4" t="s">
        <v>130</v>
      </c>
      <c r="M13" s="4" t="s">
        <v>66</v>
      </c>
      <c r="N13" s="4" t="s">
        <v>67</v>
      </c>
      <c r="O13" s="4" t="s">
        <v>131</v>
      </c>
      <c r="P13" s="4" t="s">
        <v>132</v>
      </c>
    </row>
    <row r="14" ht="66.75" customHeight="1">
      <c r="A14" s="4" t="s">
        <v>133</v>
      </c>
      <c r="B14" s="4" t="s">
        <v>134</v>
      </c>
      <c r="C14" s="4" t="s">
        <v>135</v>
      </c>
      <c r="D14" s="4" t="s">
        <v>136</v>
      </c>
      <c r="E14" s="4" t="s">
        <v>137</v>
      </c>
      <c r="F14" s="6">
        <v>2.0</v>
      </c>
      <c r="G14" s="6">
        <v>2.0</v>
      </c>
      <c r="H14" s="4">
        <f t="shared" si="1"/>
        <v>4</v>
      </c>
      <c r="I14" s="4" t="str">
        <f t="shared" si="2"/>
        <v>Medio</v>
      </c>
      <c r="J14" s="4" t="s">
        <v>42</v>
      </c>
      <c r="K14" s="4" t="s">
        <v>138</v>
      </c>
      <c r="L14" s="4" t="s">
        <v>139</v>
      </c>
      <c r="M14" s="4" t="s">
        <v>45</v>
      </c>
      <c r="N14" s="4" t="s">
        <v>140</v>
      </c>
      <c r="O14" s="4" t="s">
        <v>141</v>
      </c>
      <c r="P14" s="4" t="s">
        <v>142</v>
      </c>
    </row>
    <row r="15" ht="66.75" customHeight="1">
      <c r="A15" s="4" t="s">
        <v>143</v>
      </c>
      <c r="B15" s="4" t="s">
        <v>134</v>
      </c>
      <c r="C15" s="4" t="s">
        <v>144</v>
      </c>
      <c r="D15" s="4" t="s">
        <v>145</v>
      </c>
      <c r="E15" s="4" t="s">
        <v>146</v>
      </c>
      <c r="F15" s="6">
        <v>3.0</v>
      </c>
      <c r="G15" s="6">
        <v>3.0</v>
      </c>
      <c r="H15" s="4">
        <f t="shared" si="1"/>
        <v>9</v>
      </c>
      <c r="I15" s="4" t="str">
        <f t="shared" si="2"/>
        <v>Alto</v>
      </c>
      <c r="J15" s="4" t="s">
        <v>42</v>
      </c>
      <c r="K15" s="4" t="s">
        <v>147</v>
      </c>
      <c r="L15" s="4" t="s">
        <v>148</v>
      </c>
      <c r="M15" s="4" t="s">
        <v>66</v>
      </c>
      <c r="N15" s="4" t="s">
        <v>67</v>
      </c>
      <c r="O15" s="4" t="s">
        <v>149</v>
      </c>
      <c r="P15" s="4" t="s">
        <v>150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P1"/>
  </mergeCells>
  <conditionalFormatting sqref="I4:I15">
    <cfRule type="expression" dxfId="0" priority="1">
      <formula>$I4="Alto"</formula>
    </cfRule>
  </conditionalFormatting>
  <conditionalFormatting sqref="I4:I15">
    <cfRule type="expression" dxfId="1" priority="2">
      <formula>$I4="Medio"</formula>
    </cfRule>
  </conditionalFormatting>
  <conditionalFormatting sqref="I4:I15">
    <cfRule type="expression" dxfId="2" priority="3">
      <formula>$I4="Bajo"</formula>
    </cfRule>
  </conditionalFormatting>
  <dataValidations>
    <dataValidation type="list" allowBlank="1" sqref="F4:G15">
      <formula1>"1,2,3"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8.0"/>
    <col customWidth="1" min="2" max="4" width="25.0"/>
    <col customWidth="1" min="5" max="26" width="8.63"/>
  </cols>
  <sheetData>
    <row r="1" ht="33.75" customHeight="1">
      <c r="A1" s="1" t="s">
        <v>151</v>
      </c>
    </row>
    <row r="3" ht="28.5" customHeight="1">
      <c r="A3" s="5" t="s">
        <v>152</v>
      </c>
      <c r="B3" s="5" t="s">
        <v>153</v>
      </c>
      <c r="C3" s="5" t="s">
        <v>154</v>
      </c>
      <c r="D3" s="5" t="s">
        <v>155</v>
      </c>
    </row>
    <row r="4" ht="48.0" customHeight="1">
      <c r="A4" s="4" t="s">
        <v>156</v>
      </c>
      <c r="B4" s="7" t="s">
        <v>157</v>
      </c>
      <c r="C4" s="8" t="s">
        <v>158</v>
      </c>
      <c r="D4" s="8" t="s">
        <v>159</v>
      </c>
    </row>
    <row r="5" ht="48.0" customHeight="1">
      <c r="A5" s="4" t="s">
        <v>160</v>
      </c>
      <c r="B5" s="9" t="s">
        <v>161</v>
      </c>
      <c r="C5" s="7" t="s">
        <v>162</v>
      </c>
      <c r="D5" s="8" t="s">
        <v>163</v>
      </c>
    </row>
    <row r="6" ht="48.0" customHeight="1">
      <c r="A6" s="4" t="s">
        <v>164</v>
      </c>
      <c r="B6" s="9" t="s">
        <v>165</v>
      </c>
      <c r="C6" s="9" t="s">
        <v>161</v>
      </c>
      <c r="D6" s="7" t="s">
        <v>157</v>
      </c>
    </row>
    <row r="9">
      <c r="A9" s="2" t="s">
        <v>166</v>
      </c>
      <c r="B9" s="2" t="s">
        <v>167</v>
      </c>
    </row>
    <row r="10">
      <c r="A10" s="2" t="s">
        <v>168</v>
      </c>
      <c r="B10" s="2" t="s">
        <v>169</v>
      </c>
    </row>
    <row r="11">
      <c r="A11" s="2" t="s">
        <v>170</v>
      </c>
      <c r="B11" s="2" t="s">
        <v>169</v>
      </c>
    </row>
    <row r="12">
      <c r="A12" s="2" t="s">
        <v>171</v>
      </c>
      <c r="B12" s="2" t="s">
        <v>172</v>
      </c>
    </row>
    <row r="13">
      <c r="A13" s="2" t="s">
        <v>173</v>
      </c>
      <c r="B13" s="2" t="s">
        <v>174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E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64.0"/>
    <col customWidth="1" min="3" max="3" width="35.0"/>
    <col customWidth="1" min="4" max="4" width="69.0"/>
    <col customWidth="1" min="5" max="26" width="8.63"/>
  </cols>
  <sheetData>
    <row r="1" ht="33.75" customHeight="1">
      <c r="A1" s="1" t="s">
        <v>175</v>
      </c>
    </row>
    <row r="3" ht="28.5" customHeight="1">
      <c r="A3" s="5" t="s">
        <v>176</v>
      </c>
      <c r="B3" s="5" t="s">
        <v>177</v>
      </c>
      <c r="C3" s="5" t="s">
        <v>178</v>
      </c>
      <c r="D3" s="5" t="s">
        <v>179</v>
      </c>
    </row>
    <row r="4" ht="45.0" customHeight="1">
      <c r="A4" s="4" t="s">
        <v>180</v>
      </c>
      <c r="B4" s="4" t="s">
        <v>181</v>
      </c>
      <c r="C4" s="4" t="s">
        <v>182</v>
      </c>
      <c r="D4" s="4" t="s">
        <v>183</v>
      </c>
    </row>
    <row r="5" ht="45.0" customHeight="1">
      <c r="A5" s="4" t="s">
        <v>184</v>
      </c>
      <c r="B5" s="4" t="s">
        <v>185</v>
      </c>
      <c r="C5" s="4" t="s">
        <v>186</v>
      </c>
      <c r="D5" s="4" t="s">
        <v>187</v>
      </c>
    </row>
    <row r="6" ht="45.0" customHeight="1">
      <c r="A6" s="4" t="s">
        <v>188</v>
      </c>
      <c r="B6" s="4" t="s">
        <v>189</v>
      </c>
      <c r="C6" s="4" t="s">
        <v>190</v>
      </c>
      <c r="D6" s="4" t="s">
        <v>140</v>
      </c>
    </row>
    <row r="7" ht="45.0" customHeight="1">
      <c r="A7" s="4" t="s">
        <v>191</v>
      </c>
      <c r="B7" s="4" t="s">
        <v>192</v>
      </c>
      <c r="C7" s="4" t="s">
        <v>193</v>
      </c>
      <c r="D7" s="4" t="s">
        <v>140</v>
      </c>
    </row>
    <row r="8" ht="45.0" customHeight="1">
      <c r="A8" s="4" t="s">
        <v>194</v>
      </c>
      <c r="B8" s="4" t="s">
        <v>195</v>
      </c>
      <c r="C8" s="4" t="s">
        <v>196</v>
      </c>
      <c r="D8" s="4" t="s">
        <v>197</v>
      </c>
    </row>
    <row r="9" ht="45.0" customHeight="1">
      <c r="A9" s="4" t="s">
        <v>198</v>
      </c>
      <c r="B9" s="4" t="s">
        <v>199</v>
      </c>
      <c r="C9" s="4" t="s">
        <v>200</v>
      </c>
      <c r="D9" s="4" t="s">
        <v>201</v>
      </c>
    </row>
    <row r="10" ht="45.0" customHeight="1">
      <c r="A10" s="4" t="s">
        <v>202</v>
      </c>
      <c r="B10" s="4" t="s">
        <v>203</v>
      </c>
      <c r="C10" s="4" t="s">
        <v>204</v>
      </c>
      <c r="D10" s="4" t="s">
        <v>205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59.0"/>
    <col customWidth="1" min="2" max="2" width="25.0"/>
    <col customWidth="1" min="3" max="3" width="27.0"/>
    <col customWidth="1" min="4" max="4" width="28.0"/>
    <col customWidth="1" min="5" max="5" width="20.0"/>
    <col customWidth="1" min="6" max="26" width="8.63"/>
  </cols>
  <sheetData>
    <row r="1" ht="33.75" customHeight="1">
      <c r="A1" s="1" t="s">
        <v>206</v>
      </c>
    </row>
    <row r="3" ht="28.5" customHeight="1">
      <c r="A3" s="5" t="s">
        <v>207</v>
      </c>
      <c r="B3" s="5" t="s">
        <v>208</v>
      </c>
      <c r="C3" s="5" t="s">
        <v>209</v>
      </c>
      <c r="D3" s="5" t="s">
        <v>210</v>
      </c>
      <c r="E3" s="5" t="s">
        <v>211</v>
      </c>
    </row>
    <row r="4">
      <c r="A4" s="2" t="s">
        <v>212</v>
      </c>
      <c r="B4" s="2">
        <v>4.0</v>
      </c>
      <c r="C4" s="2">
        <v>7.0</v>
      </c>
      <c r="D4" s="2">
        <v>13.0</v>
      </c>
      <c r="E4" s="2">
        <f t="shared" ref="E4:E6" si="1">(B4+4*C4+D4)/6</f>
        <v>7.5</v>
      </c>
    </row>
    <row r="5">
      <c r="A5" s="2" t="s">
        <v>213</v>
      </c>
      <c r="B5" s="2">
        <v>2.0</v>
      </c>
      <c r="C5" s="2">
        <v>4.0</v>
      </c>
      <c r="D5" s="2">
        <v>9.0</v>
      </c>
      <c r="E5" s="2">
        <f t="shared" si="1"/>
        <v>4.5</v>
      </c>
    </row>
    <row r="6">
      <c r="A6" s="2" t="s">
        <v>214</v>
      </c>
      <c r="B6" s="2">
        <v>3.0</v>
      </c>
      <c r="C6" s="2">
        <v>5.0</v>
      </c>
      <c r="D6" s="2">
        <v>10.0</v>
      </c>
      <c r="E6" s="2">
        <f t="shared" si="1"/>
        <v>5.5</v>
      </c>
    </row>
    <row r="9">
      <c r="A9" s="2" t="s">
        <v>215</v>
      </c>
      <c r="B9" s="2" t="s">
        <v>216</v>
      </c>
    </row>
    <row r="10">
      <c r="A10" s="2" t="s">
        <v>217</v>
      </c>
      <c r="B10" s="2">
        <v>10000.0</v>
      </c>
    </row>
    <row r="11">
      <c r="A11" s="2" t="s">
        <v>218</v>
      </c>
      <c r="B11" s="2">
        <v>18.99</v>
      </c>
    </row>
    <row r="12">
      <c r="A12" s="2" t="s">
        <v>219</v>
      </c>
      <c r="B12" s="2">
        <v>18.88</v>
      </c>
    </row>
    <row r="13">
      <c r="A13" s="2" t="s">
        <v>220</v>
      </c>
      <c r="B13" s="2">
        <v>21.39</v>
      </c>
    </row>
    <row r="14">
      <c r="A14" s="2" t="s">
        <v>221</v>
      </c>
      <c r="B14" s="2">
        <v>22.71</v>
      </c>
    </row>
    <row r="15">
      <c r="A15" s="2" t="s">
        <v>222</v>
      </c>
      <c r="B15" s="2" t="s">
        <v>223</v>
      </c>
    </row>
    <row r="18" ht="28.5" customHeight="1">
      <c r="A18" s="5" t="s">
        <v>224</v>
      </c>
      <c r="B18" s="5" t="s">
        <v>225</v>
      </c>
      <c r="C18" s="5" t="s">
        <v>226</v>
      </c>
      <c r="D18" s="5" t="s">
        <v>227</v>
      </c>
    </row>
    <row r="19">
      <c r="A19" s="2" t="s">
        <v>228</v>
      </c>
      <c r="B19" s="2">
        <v>0.35</v>
      </c>
      <c r="C19" s="2">
        <v>4.0</v>
      </c>
      <c r="D19" s="2">
        <f t="shared" ref="D19:D20" si="2">B19*C19</f>
        <v>1.4</v>
      </c>
    </row>
    <row r="20">
      <c r="A20" s="2" t="s">
        <v>229</v>
      </c>
      <c r="B20" s="2">
        <v>0.12</v>
      </c>
      <c r="C20" s="2">
        <v>1.0</v>
      </c>
      <c r="D20" s="2">
        <f t="shared" si="2"/>
        <v>0.12</v>
      </c>
    </row>
    <row r="21" ht="15.75" customHeight="1"/>
    <row r="22" ht="15.75" customHeight="1"/>
    <row r="23" ht="15.75" customHeight="1">
      <c r="A23" s="2" t="s">
        <v>230</v>
      </c>
      <c r="B23" s="2" t="s">
        <v>231</v>
      </c>
    </row>
    <row r="24" ht="15.75" customHeight="1">
      <c r="A24" s="2" t="s">
        <v>232</v>
      </c>
      <c r="B24" s="2" t="s">
        <v>233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13.0"/>
    <col customWidth="1" min="3" max="3" width="60.0"/>
    <col customWidth="1" min="4" max="5" width="20.0"/>
    <col customWidth="1" min="6" max="6" width="64.0"/>
    <col customWidth="1" min="7" max="7" width="66.0"/>
    <col customWidth="1" min="8" max="8" width="28.0"/>
    <col customWidth="1" min="9" max="9" width="22.0"/>
    <col customWidth="1" min="10" max="26" width="8.63"/>
  </cols>
  <sheetData>
    <row r="1" ht="33.75" customHeight="1">
      <c r="A1" s="1" t="s">
        <v>234</v>
      </c>
    </row>
    <row r="3" ht="28.5" customHeight="1">
      <c r="A3" s="5" t="s">
        <v>235</v>
      </c>
      <c r="B3" s="5" t="s">
        <v>21</v>
      </c>
      <c r="C3" s="5" t="s">
        <v>236</v>
      </c>
      <c r="D3" s="5" t="s">
        <v>237</v>
      </c>
      <c r="E3" s="5" t="s">
        <v>238</v>
      </c>
      <c r="F3" s="5" t="s">
        <v>239</v>
      </c>
      <c r="G3" s="5" t="s">
        <v>240</v>
      </c>
      <c r="H3" s="5" t="s">
        <v>241</v>
      </c>
      <c r="I3" s="5" t="s">
        <v>242</v>
      </c>
    </row>
    <row r="4" ht="60.0" customHeight="1">
      <c r="A4" s="4" t="s">
        <v>243</v>
      </c>
      <c r="B4" s="4" t="s">
        <v>244</v>
      </c>
      <c r="C4" s="4" t="s">
        <v>245</v>
      </c>
      <c r="D4" s="4"/>
      <c r="E4" s="4"/>
      <c r="F4" s="4" t="s">
        <v>246</v>
      </c>
      <c r="G4" s="4" t="s">
        <v>247</v>
      </c>
      <c r="H4" s="4" t="s">
        <v>248</v>
      </c>
      <c r="I4" s="4" t="s">
        <v>249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printOptions/>
  <pageMargins bottom="0.75" footer="0.0" header="0.0" left="0.7" right="0.7" top="0.75"/>
  <pageSetup orientation="landscape"/>
  <drawing r:id="rId1"/>
</worksheet>
</file>